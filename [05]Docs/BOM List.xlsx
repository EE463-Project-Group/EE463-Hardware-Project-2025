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4.sınıf 1. dönem\EE463\EE463-Hardware-Project-2025\[05]Docs\"/>
    </mc:Choice>
  </mc:AlternateContent>
  <xr:revisionPtr revIDLastSave="0" documentId="13_ncr:1_{07FFBA2A-C3CC-487B-ACE3-611C28EAB3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E32" i="1"/>
  <c r="D32" i="1"/>
  <c r="F31" i="1"/>
  <c r="E31" i="1"/>
  <c r="D31" i="1"/>
  <c r="G26" i="1"/>
  <c r="H26" i="1" s="1"/>
  <c r="G27" i="1"/>
  <c r="H27" i="1" s="1"/>
  <c r="G28" i="1"/>
  <c r="H28" i="1" s="1"/>
  <c r="G29" i="1"/>
  <c r="H29" i="1" s="1"/>
  <c r="G30" i="1"/>
  <c r="H30" i="1" s="1"/>
  <c r="G17" i="1"/>
  <c r="H17" i="1" s="1"/>
  <c r="H38" i="1"/>
  <c r="G25" i="1"/>
  <c r="H25" i="1" s="1"/>
  <c r="G24" i="1"/>
  <c r="H24" i="1" s="1"/>
  <c r="G23" i="1"/>
  <c r="G22" i="1"/>
  <c r="H22" i="1" s="1"/>
  <c r="G21" i="1"/>
  <c r="H21" i="1" s="1"/>
  <c r="G20" i="1"/>
  <c r="H20" i="1" s="1"/>
  <c r="G19" i="1"/>
  <c r="H19" i="1" s="1"/>
  <c r="G18" i="1"/>
  <c r="H18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  <c r="G31" i="1" l="1"/>
  <c r="H31" i="1" s="1"/>
  <c r="G32" i="1"/>
  <c r="H23" i="1"/>
  <c r="H32" i="1" l="1"/>
  <c r="H37" i="1" s="1"/>
  <c r="H39" i="1" s="1"/>
</calcChain>
</file>

<file path=xl/sharedStrings.xml><?xml version="1.0" encoding="utf-8"?>
<sst xmlns="http://schemas.openxmlformats.org/spreadsheetml/2006/main" count="76" uniqueCount="76">
  <si>
    <t>Model Name</t>
  </si>
  <si>
    <t xml:space="preserve"> Link</t>
  </si>
  <si>
    <t>Price</t>
  </si>
  <si>
    <t xml:space="preserve">Number For One Set  </t>
  </si>
  <si>
    <t>Number of Sets</t>
  </si>
  <si>
    <t>Extra</t>
  </si>
  <si>
    <t>Total Number</t>
  </si>
  <si>
    <t>Total Price For Each Model</t>
  </si>
  <si>
    <t>Datasheet Link</t>
  </si>
  <si>
    <t>PJMH099N60EC</t>
  </si>
  <si>
    <t>https://www.ozdisan.com/p/Discrete-Mosfets-435/panjit-pjmh099n60ec-995057?srsltid=AfmBOopGDYQJt6BkPJnuN5OB6dzMETE-jcm8vtAOtnOz-rqQM0vqoALB</t>
  </si>
  <si>
    <t>PANJIT_PJMH099N60EC.pdf</t>
  </si>
  <si>
    <t>MUR840</t>
  </si>
  <si>
    <t>MUR840, MUR860, RURP840, RURP860 8A, 400V - 600V Ultrafast Diodes</t>
  </si>
  <si>
    <t>UF4007</t>
  </si>
  <si>
    <t>uf4001.pdf</t>
  </si>
  <si>
    <t>ADUM1200ARZ</t>
  </si>
  <si>
    <t>ADUM1200ARZ-RL7 SOIC-8 2 Kanal İzolatör Entegresi ACS/AD/ADC Serisi Motorobit - Motorobit.com</t>
  </si>
  <si>
    <t>ADuM1200/ADuM1201 (Rev.K)</t>
  </si>
  <si>
    <t>Hall Effect Sensör</t>
  </si>
  <si>
    <t>Hall Effect Sensör Kartı Manyetik Robolink</t>
  </si>
  <si>
    <t>5V 2A Adaptör</t>
  </si>
  <si>
    <t>15V Adaptör</t>
  </si>
  <si>
    <t>18V 1A Adaptör</t>
  </si>
  <si>
    <t>1500 uF 400V C</t>
  </si>
  <si>
    <t>1500uF 400V Elektrolitik Kondansatör 35x82mm Elektrolit Kondansatör Motorobit - Motorobit.com</t>
  </si>
  <si>
    <t>0.1 uF 1kV C</t>
  </si>
  <si>
    <t>RDER73A104K5B1H03B Murata - Kapasitörler - e-komponent.com</t>
  </si>
  <si>
    <t>1N4118 Diyot</t>
  </si>
  <si>
    <t>1N4148 Diyot - MIC Uygun Fiyatıyla Satın Al - Direnc.net®</t>
  </si>
  <si>
    <t>100 nF C</t>
  </si>
  <si>
    <t>100nF 63V 5mm %5 Polyester Kondansatör Uygun Fiyatıyla Satın Al - Direnc.net®</t>
  </si>
  <si>
    <t>10 uF</t>
  </si>
  <si>
    <t>10uF 100V Kondansatör 5x11mm Uygun Fiyatıyla Satın Al - Direnc.net®</t>
  </si>
  <si>
    <t>100uF</t>
  </si>
  <si>
    <t>100uF 16V Kondansatör 5mm 5x11mm 2000Hrs Uygun Fiyatıyla Satın Al - Direnc.net®</t>
  </si>
  <si>
    <t>10K 1/4W Direnç Uygun Fiyatıyla Satın Al - Direnc.net®</t>
  </si>
  <si>
    <t>10R 1/4W Direnç Uygun Fiyatıyla Satın Al - Direnc.net®</t>
  </si>
  <si>
    <t>1K 1/4W Direnç Uygun Fiyatıyla Satın Al - Direnc.net®</t>
  </si>
  <si>
    <t>bc547 transistor (4 adet)</t>
  </si>
  <si>
    <t>BC547- 100mA 45V TO92 NPN Transistörü Satın Al</t>
  </si>
  <si>
    <t>27K 1/4W Direnç Uygun Fiyatıyla Satın Al - Direnc.net®</t>
  </si>
  <si>
    <t>IR2110</t>
  </si>
  <si>
    <t>IR2110 Mosfet Sürücü Entegresi Dip-14 | Komponentci</t>
  </si>
  <si>
    <t>acs712</t>
  </si>
  <si>
    <t>6n135</t>
  </si>
  <si>
    <t>6N135 DIP-8 Transistör Çıkışlı Optokuplör Entegresi Uygun Fiyatıyla Satın Al - Direnc.net®</t>
  </si>
  <si>
    <t>Total Price Sum</t>
  </si>
  <si>
    <t>https://www.hepsiburada.com/oem-sl-1255-5v-2a-luks-filter-tablet-pc-adaptoru-p-HBCV00003ZC75G?magaza=Hepsiburada</t>
  </si>
  <si>
    <t>https://www.direnc.net/uf4007-10-amp-ultra-fast-rectifiers</t>
  </si>
  <si>
    <t>https://www.komponentci.net/mur860-8a-600v-hizli-diyot-to-220ac-pmu10991?srsltid=AfmBOor-Dfm8fQB3jF9kflkZwclAIiSePaqC5QzY-GVlDfR9rggHRsoQCfc</t>
  </si>
  <si>
    <t>Elektrik Kutusu</t>
  </si>
  <si>
    <t>230v Plug</t>
  </si>
  <si>
    <t>Buton</t>
  </si>
  <si>
    <t>Direction Switch</t>
  </si>
  <si>
    <t>On Off Switch 230V</t>
  </si>
  <si>
    <t>Sponsorship Amount</t>
  </si>
  <si>
    <t>Net Money</t>
  </si>
  <si>
    <t>https://www.egbelektronik.com/urun/weko-18-volt-1-amper-5525-ulu-yerli-retim-priz-tipi-adaptr-11106511?srsltid=AfmBOoq_jTw4LNkhkagqxmlSF9X3A8jCuWRAbx1b-s8NuiNUnARUUWJb73E</t>
  </si>
  <si>
    <t>https://www.robolinkmarket.com/22uf-35v-kondansator-paketi-10-adet?srsltid=AfmBOopfVHY3xAJeJW8GBhtBZn1MSSfRfnt9BmKFRcYSpNET1qWEk0afp1g</t>
  </si>
  <si>
    <t>10 ohm (50 adet)</t>
  </si>
  <si>
    <t>22uF (10 adet)</t>
  </si>
  <si>
    <t>10k direnç (50 adet)</t>
  </si>
  <si>
    <t>27k direnç (50 adet)</t>
  </si>
  <si>
    <t>1k (50 adet)</t>
  </si>
  <si>
    <t>https://www.direnc.net/560r-14w-direnc?language=tr&amp;h=5f36deb5&amp;srsltid=AfmBOopl2sDtXDT4wCZat6zCC3FJPVpz_tj-26lQ1RShEhhJgzR07XfKjRY</t>
  </si>
  <si>
    <t>560 ohm (50 adet)</t>
  </si>
  <si>
    <t>14 pin entegre soketi</t>
  </si>
  <si>
    <t>https://www.komponentci.net/14-pin-entegre-soketi-pmu3014</t>
  </si>
  <si>
    <t>https://www.robotistan.com/acs712-akim-sensoru-current-sensor-carrier-30-to-30a?language=tr&amp;h=4d66867c</t>
  </si>
  <si>
    <t>8 pin entegre soketi</t>
  </si>
  <si>
    <t xml:space="preserve">https://www.komponentci.net/8-pin-entegre-soketi-pmu3015 </t>
  </si>
  <si>
    <t>https://www.motorobit.com/arduino-5li-buton-modulu?srsltid=AfmBOopDyxCoQPpqMcwqaybCtM8J6fLhEOI0xNTWCUEznHC3n7xuacHjVdo</t>
  </si>
  <si>
    <t>https://www.direnc.net/dc134d-3p-on-off-anahtar-220v-15mm-isikli-yuvarlak?language=tr&amp;h=ff36214d&amp;srsltid=AfmBOopG4A1XwkREyORR278tBpL7vYW4-07X7U69qTrkmWW7qlyOuDLyRnY</t>
  </si>
  <si>
    <t>https://www.motorobit.com/kulakli-erkek-power-soketi-isikli-anahtarli?srsltid=AfmBOoqlt-VrM2FhGPwY6LHi55f2reIAFzUUkI73KcxCCAPkA0PizmAw2Ik</t>
  </si>
  <si>
    <t>https://www.komponentci.net/ic-140-toggle-switch-on-off-on-6mm-3p-mts-103-pmu6948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</si>
</sst>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₺&quot;#,##0.00"/>
    <numFmt numFmtId="165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1" fillId="0" borderId="1" xfId="1" applyBorder="1"/>
    <xf numFmtId="164" fontId="0" fillId="0" borderId="1" xfId="0" applyNumberFormat="1" applyBorder="1"/>
    <xf numFmtId="0" fontId="0" fillId="0" borderId="2" xfId="0" applyBorder="1"/>
    <xf numFmtId="0" fontId="1" fillId="0" borderId="3" xfId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2" xfId="0" applyFill="1" applyBorder="1"/>
    <xf numFmtId="0" fontId="0" fillId="2" borderId="1" xfId="0" applyFill="1" applyBorder="1"/>
    <xf numFmtId="164" fontId="0" fillId="2" borderId="1" xfId="0" applyNumberFormat="1" applyFill="1" applyBorder="1"/>
    <xf numFmtId="0" fontId="0" fillId="2" borderId="3" xfId="0" applyFill="1" applyBorder="1"/>
    <xf numFmtId="165" fontId="0" fillId="2" borderId="1" xfId="0" applyNumberFormat="1" applyFill="1" applyBorder="1"/>
    <xf numFmtId="0" fontId="0" fillId="2" borderId="7" xfId="0" applyFill="1" applyBorder="1"/>
    <xf numFmtId="0" fontId="0" fillId="2" borderId="8" xfId="0" applyFill="1" applyBorder="1"/>
    <xf numFmtId="164" fontId="0" fillId="2" borderId="8" xfId="0" applyNumberFormat="1" applyFill="1" applyBorder="1"/>
    <xf numFmtId="0" fontId="0" fillId="2" borderId="9" xfId="0" applyFill="1" applyBorder="1"/>
  </cellXfs>
  <cellStyles count="2">
    <cellStyle name="Köprü" xfId="1" builtinId="8"/>
    <cellStyle name="Normal" xfId="0" builtinId="0"/>
  </cellStyles>
  <dxfs count="22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&quot;₺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D8E262EC-48AE-4D9E-927E-8F847A3E352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B4B4CA-CEBB-4257-8159-AF799D57B1D6}" name="Tablo1" displayName="Tablo1" ref="A1:I39" headerRowDxfId="21" headerRowBorderDxfId="20" tableBorderDxfId="19" totalsRowBorderDxfId="18">
  <autoFilter ref="A1:I39" xr:uid="{38B4B4CA-CEBB-4257-8159-AF799D57B1D6}"/>
  <tableColumns count="9">
    <tableColumn id="1" xr3:uid="{07F9C1B0-2E3C-41BD-AFE7-C6602C76BDA6}" name="Model Name" totalsRowLabel="Toplam" dataDxfId="17" totalsRowDxfId="16"/>
    <tableColumn id="2" xr3:uid="{A612A64B-66D4-4FCF-9417-165CE2F2DFCD}" name=" Link" dataDxfId="15" totalsRowDxfId="14"/>
    <tableColumn id="3" xr3:uid="{F6218591-5622-4412-B537-9A808C4EF453}" name="Price" dataDxfId="13" totalsRowDxfId="12"/>
    <tableColumn id="4" xr3:uid="{FA4C3E0A-12DA-4C09-BCF3-0B890A7E06BC}" name="Number For One Set  " dataDxfId="11" totalsRowDxfId="10"/>
    <tableColumn id="5" xr3:uid="{BED7F979-04C6-4DAE-AD28-16DD1A9E581E}" name="Number of Sets" dataDxfId="9" totalsRowDxfId="8"/>
    <tableColumn id="6" xr3:uid="{3037B2D9-5A0E-4054-B23E-C589137F554B}" name="Extra" dataDxfId="7" totalsRowDxfId="6"/>
    <tableColumn id="7" xr3:uid="{4CA6BC76-9EA4-4301-92DF-D69770FA137B}" name="Total Number" dataDxfId="5" totalsRowDxfId="4"/>
    <tableColumn id="8" xr3:uid="{29EB3D03-36AC-456A-BDCC-D25921C6E29E}" name="Total Price For Each Model" dataDxfId="3" totalsRowDxfId="2"/>
    <tableColumn id="9" xr3:uid="{B6677F07-7C50-499C-82FE-5CA91D90DE99}" name="Datasheet Link" totalsRowFunction="count" dataDxfId="1" totalsRow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renc.net/10uf100v?utm_source=google&amp;utm_medium=cpc&amp;utm_campaign=0200-pmax-beta&amp;gad_source=1&amp;gad_campaignid=22119495771&amp;gbraid=0AAAAAD2u3wrmsZo4DdEEW3kK3dhvOFJ6Y&amp;gclid=Cj0KCQiA6NTJBhDEARIsAB7QHD3SQjPmjQA0yNq6hyprfuAQTqFSY01kZIA2FLBL91jN08Em_tUomn4aAu3-EALw_wcB" TargetMode="External"/><Relationship Id="rId18" Type="http://schemas.openxmlformats.org/officeDocument/2006/relationships/hyperlink" Target="https://www.robotistan.com/bc547-to92" TargetMode="External"/><Relationship Id="rId26" Type="http://schemas.openxmlformats.org/officeDocument/2006/relationships/hyperlink" Target="https://www.robolinkmarket.com/22uf-35v-kondansator-paketi-10-adet?srsltid=AfmBOopfVHY3xAJeJW8GBhtBZn1MSSfRfnt9BmKFRcYSpNET1qWEk0afp1g" TargetMode="External"/><Relationship Id="rId3" Type="http://schemas.openxmlformats.org/officeDocument/2006/relationships/hyperlink" Target="https://www.ozdisan.com/api/pdf/product/assets/PANJIT_PJMH099N60EC.pdf" TargetMode="External"/><Relationship Id="rId21" Type="http://schemas.openxmlformats.org/officeDocument/2006/relationships/hyperlink" Target="https://www.robotistan.com/acs712-akim-sensoru-current-sensor-carrier-30-to-30a?language=tr&amp;h=4d66867c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www.robolinkmarket.com/hall-effect-sensor-karti?srsltid=AfmBOorafGQdnXpc6rE9SGo10VDfzoedQBinWAkAwjy-yNeQ2-ZJT1l28Xk" TargetMode="External"/><Relationship Id="rId12" Type="http://schemas.openxmlformats.org/officeDocument/2006/relationships/hyperlink" Target="https://www.direnc.net/100nf-63v-polyster?utm_source=google&amp;utm_medium=cpc&amp;utm_campaign=0200-pmax-beta&amp;gad_source=1&amp;gad_campaignid=22119495771&amp;gbraid=0AAAAAD2u3wrmsZo4DdEEW3kK3dhvOFJ6Y&amp;gclid=Cj0KCQiA6NTJBhDEARIsAB7QHD28Iv1Ia-nqb_LYKImbUb8uQo4wUTFCzA87K9KvtK5kly7E3B6QhX8aArcaEALw_wcB" TargetMode="External"/><Relationship Id="rId17" Type="http://schemas.openxmlformats.org/officeDocument/2006/relationships/hyperlink" Target="https://www.direnc.net/1k-14w-direnc" TargetMode="External"/><Relationship Id="rId25" Type="http://schemas.openxmlformats.org/officeDocument/2006/relationships/hyperlink" Target="https://www.komponentci.net/mur860-8a-600v-hizli-diyot-to-220ac-pmu10991?srsltid=AfmBOor-Dfm8fQB3jF9kflkZwclAIiSePaqC5QzY-GVlDfR9rggHRsoQCfc" TargetMode="External"/><Relationship Id="rId33" Type="http://schemas.openxmlformats.org/officeDocument/2006/relationships/hyperlink" Target="https://www.motorobit.com/kulakli-erkek-power-soketi-isikli-anahtarli?srsltid=AfmBOoqlt-VrM2FhGPwY6LHi55f2reIAFzUUkI73KcxCCAPkA0PizmAw2Ik" TargetMode="External"/><Relationship Id="rId2" Type="http://schemas.openxmlformats.org/officeDocument/2006/relationships/hyperlink" Target="https://www.mouser.com/datasheet/2/149/rurp860-244175.pdf?srsltid=AfmBOooYCmlhp8ArR5AyzC5gM2mv8igOzd1cTrq_5jTxrOMoU9HnxAyi" TargetMode="External"/><Relationship Id="rId16" Type="http://schemas.openxmlformats.org/officeDocument/2006/relationships/hyperlink" Target="https://www.direnc.net/10r-14w-direnc" TargetMode="External"/><Relationship Id="rId20" Type="http://schemas.openxmlformats.org/officeDocument/2006/relationships/hyperlink" Target="https://www.komponentci.net/ir2110-mosfet-surucu-entegresi-dip-14-pmu8539?srsltid=AfmBOopS5VFXBPFYLiYZpf5xYurc6zJB2HNLEaQAR35-XDZDrqD4X8-s" TargetMode="External"/><Relationship Id="rId29" Type="http://schemas.openxmlformats.org/officeDocument/2006/relationships/hyperlink" Target="https://www.komponentci.net/8-pin-entegre-soketi-pmu3015" TargetMode="External"/><Relationship Id="rId1" Type="http://schemas.openxmlformats.org/officeDocument/2006/relationships/hyperlink" Target="https://www.ozdisan.com/p/Discrete-Mosfets-435/panjit-pjmh099n60ec-995057?srsltid=AfmBOopGDYQJt6BkPJnuN5OB6dzMETE-jcm8vtAOtnOz-rqQM0vqoALB" TargetMode="External"/><Relationship Id="rId6" Type="http://schemas.openxmlformats.org/officeDocument/2006/relationships/hyperlink" Target="https://dosya.motorobit.com/pdf/ADUM1200ARZ.pdf" TargetMode="External"/><Relationship Id="rId11" Type="http://schemas.openxmlformats.org/officeDocument/2006/relationships/hyperlink" Target="https://www.direnc.net/1n4148-diyot-mic?utm_source=google&amp;utm_medium=cpc&amp;utm_campaign=0100-pmax-alfa&amp;gad_source=1&amp;gad_campaignid=22157331511&amp;gbraid=0AAAAAD2u3woM5rqzhqKwi3KNrWjzQllyA&amp;gclid=Cj0KCQiA6NTJBhDEARIsAB7QHD04qFT8oVx7j-jk4Xi13ISjTHHRa9qZwWSGzKP3FvVktYPX_TPenG8aAhW7EALw_wcB" TargetMode="External"/><Relationship Id="rId24" Type="http://schemas.openxmlformats.org/officeDocument/2006/relationships/hyperlink" Target="https://www.direnc.net/uf4007-10-amp-ultra-fast-rectifiers" TargetMode="External"/><Relationship Id="rId32" Type="http://schemas.openxmlformats.org/officeDocument/2006/relationships/hyperlink" Target="https://www.direnc.net/dc134d-3p-on-off-anahtar-220v-15mm-isikli-yuvarlak?language=tr&amp;h=ff36214d&amp;srsltid=AfmBOopG4A1XwkREyORR278tBpL7vYW4-07X7U69qTrkmWW7qlyOuDLyRnY" TargetMode="External"/><Relationship Id="rId5" Type="http://schemas.openxmlformats.org/officeDocument/2006/relationships/hyperlink" Target="https://www.motorobit.com/adum1200arz-rl7-soic-8-2-kanal-izolator-entegresi?srsltid=AfmBOoodsKKQ-NUKNEdvdBm3lfOoo9zFqwSoPv4nBZnIQ9B38x_nXZVRIUE" TargetMode="External"/><Relationship Id="rId15" Type="http://schemas.openxmlformats.org/officeDocument/2006/relationships/hyperlink" Target="https://www.direnc.net/10k-14w-direnc?utm_source=google&amp;utm_medium=cpc&amp;utm_campaign=0100-pmax-alfa&amp;gad_source=1&amp;gad_campaignid=22157331511&amp;gbraid=0AAAAAD2u3woM5rqzhqKwi3KNrWjzQllyA&amp;gclid=Cj0KCQiA6NTJBhDEARIsAB7QHD0ZjRaCLu75Kdv0mz3Op51V6B5ZacCd821vlNFkxsJaU3QKpr60cKUaAiVqEALw_wcB" TargetMode="External"/><Relationship Id="rId23" Type="http://schemas.openxmlformats.org/officeDocument/2006/relationships/hyperlink" Target="https://www.hepsiburada.com/oem-sl-1255-5v-2a-luks-filter-tablet-pc-adaptoru-p-HBCV00003ZC75G?magaza=Hepsiburada" TargetMode="External"/><Relationship Id="rId28" Type="http://schemas.openxmlformats.org/officeDocument/2006/relationships/hyperlink" Target="https://www.komponentci.net/14-pin-entegre-soketi-pmu3014" TargetMode="External"/><Relationship Id="rId10" Type="http://schemas.openxmlformats.org/officeDocument/2006/relationships/hyperlink" Target="https://www.e-komponent.com/01-f-10-1000v-1kv-ceramic-capacitor?srsltid=AfmBOooA83MqmeItmy7nsbsrIrtZI3BPZYIFiGXQwcbZ3ifNOFxVA5ULLGk" TargetMode="External"/><Relationship Id="rId19" Type="http://schemas.openxmlformats.org/officeDocument/2006/relationships/hyperlink" Target="https://www.direnc.net/27k-14w-direnc" TargetMode="External"/><Relationship Id="rId31" Type="http://schemas.openxmlformats.org/officeDocument/2006/relationships/hyperlink" Target="https://www.komponentci.net/ic-140-toggle-switch-on-off-on-6mm-3p-mts-103-pmu6948" TargetMode="External"/><Relationship Id="rId4" Type="http://schemas.openxmlformats.org/officeDocument/2006/relationships/hyperlink" Target="https://www.vishay.com/docs/88755/uf4001.pdf" TargetMode="External"/><Relationship Id="rId9" Type="http://schemas.openxmlformats.org/officeDocument/2006/relationships/hyperlink" Target="https://www.motorobit.com/1500uf-400v-elektrolitik-kondansator-35x82mm?srsltid=AfmBOoqzw4pik1XFkkjFQBrXQZvnTZ4wqvMiCMIBFetCVrIeDeGnD7Qy" TargetMode="External"/><Relationship Id="rId14" Type="http://schemas.openxmlformats.org/officeDocument/2006/relationships/hyperlink" Target="https://www.direnc.net/100uf-16v-kondansator-5x11-12485?utm_source=google&amp;utm_medium=cpc&amp;utm_campaign=0200-pmax-beta&amp;gad_source=1&amp;gad_campaignid=22119495771&amp;gbraid=0AAAAAD2u3wrmsZo4DdEEW3kK3dhvOFJ6Y&amp;gclid=Cj0KCQiA6NTJBhDEARIsAB7QHD1fJhMuIm2wwoGNZ1Q48ePZnfVMeTd838waXjvCo4NMnUjHfzg40bwaAlJOEALw_wcB" TargetMode="External"/><Relationship Id="rId22" Type="http://schemas.openxmlformats.org/officeDocument/2006/relationships/hyperlink" Target="https://www.direnc.net/6n135-high-speed-transistor-optocouplers?utm_source=google&amp;utm_medium=cpc&amp;utm_campaign=0100-pmax-alfa&amp;gad_source=1&amp;gad_campaignid=22157331511&amp;gbraid=0AAAAAD2u3woM5rqzhqKwi3KNrWjzQllyA&amp;gclid=Cj0KCQiA6NTJBhDEARIsAB7QHD01q-pJZn0Pu-8WVUMZj65OVFndNe3m_DCA_-alKSoGLRCKZk3_NQkaApnEEALw_wcB" TargetMode="External"/><Relationship Id="rId27" Type="http://schemas.openxmlformats.org/officeDocument/2006/relationships/hyperlink" Target="https://www.direnc.net/560r-14w-direnc?language=tr&amp;h=5f36deb5&amp;srsltid=AfmBOopl2sDtXDT4wCZat6zCC3FJPVpz_tj-26lQ1RShEhhJgzR07XfKjRY" TargetMode="External"/><Relationship Id="rId30" Type="http://schemas.openxmlformats.org/officeDocument/2006/relationships/hyperlink" Target="https://www.motorobit.com/arduino-5li-buton-modulu?srsltid=AfmBOopDyxCoQPpqMcwqaybCtM8J6fLhEOI0xNTWCUEznHC3n7xuacHjVdo" TargetMode="External"/><Relationship Id="rId35" Type="http://schemas.openxmlformats.org/officeDocument/2006/relationships/table" Target="../tables/table1.xml"/><Relationship Id="rId8" Type="http://schemas.openxmlformats.org/officeDocument/2006/relationships/hyperlink" Target="https://www.egbelektronik.com/urun/weko-18-volt-1-amper-5525-ulu-yerli-retim-priz-tipi-adaptr-11106511?srsltid=AfmBOoq_jTw4LNkhkagqxmlSF9X3A8jCuWRAbx1b-s8NuiNUnARUUWJb7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zoomScale="85" zoomScaleNormal="85" workbookViewId="0">
      <selection activeCell="G10" sqref="G10"/>
    </sheetView>
  </sheetViews>
  <sheetFormatPr defaultRowHeight="14.4" x14ac:dyDescent="0.3"/>
  <cols>
    <col min="1" max="1" width="22.5546875" bestFit="1" customWidth="1"/>
    <col min="2" max="2" width="24.33203125" customWidth="1"/>
    <col min="3" max="3" width="12.44140625" customWidth="1"/>
    <col min="4" max="4" width="22.44140625" bestFit="1" customWidth="1"/>
    <col min="5" max="5" width="17.109375" bestFit="1" customWidth="1"/>
    <col min="6" max="6" width="8.88671875" bestFit="1" customWidth="1"/>
    <col min="7" max="7" width="15.5546875" bestFit="1" customWidth="1"/>
    <col min="8" max="8" width="27" bestFit="1" customWidth="1"/>
    <col min="9" max="9" width="64" bestFit="1" customWidth="1"/>
  </cols>
  <sheetData>
    <row r="1" spans="1:9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</row>
    <row r="2" spans="1:9" x14ac:dyDescent="0.3">
      <c r="A2" s="4" t="s">
        <v>9</v>
      </c>
      <c r="B2" s="2" t="s">
        <v>10</v>
      </c>
      <c r="C2" s="1">
        <v>74.72</v>
      </c>
      <c r="D2" s="1">
        <v>4</v>
      </c>
      <c r="E2" s="1">
        <v>2</v>
      </c>
      <c r="F2" s="1">
        <v>2</v>
      </c>
      <c r="G2" s="1">
        <f>D2*E2+F2</f>
        <v>10</v>
      </c>
      <c r="H2" s="3">
        <f>C2*G2</f>
        <v>747.2</v>
      </c>
      <c r="I2" s="5" t="s">
        <v>11</v>
      </c>
    </row>
    <row r="3" spans="1:9" x14ac:dyDescent="0.3">
      <c r="A3" s="4" t="s">
        <v>12</v>
      </c>
      <c r="B3" s="2" t="s">
        <v>50</v>
      </c>
      <c r="C3" s="1">
        <v>25.57</v>
      </c>
      <c r="D3" s="1">
        <v>4</v>
      </c>
      <c r="E3" s="1">
        <v>2</v>
      </c>
      <c r="F3" s="1">
        <v>0</v>
      </c>
      <c r="G3" s="1">
        <f t="shared" ref="G3:G32" si="0">D3*E3+F3</f>
        <v>8</v>
      </c>
      <c r="H3" s="3">
        <f t="shared" ref="H3:H32" si="1">C3*G3</f>
        <v>204.56</v>
      </c>
      <c r="I3" s="5" t="s">
        <v>13</v>
      </c>
    </row>
    <row r="4" spans="1:9" x14ac:dyDescent="0.3">
      <c r="A4" s="4" t="s">
        <v>14</v>
      </c>
      <c r="B4" s="2" t="s">
        <v>49</v>
      </c>
      <c r="C4" s="1">
        <v>1.02</v>
      </c>
      <c r="D4" s="1">
        <v>6</v>
      </c>
      <c r="E4" s="1">
        <v>2</v>
      </c>
      <c r="F4" s="1">
        <v>5</v>
      </c>
      <c r="G4" s="1">
        <f t="shared" si="0"/>
        <v>17</v>
      </c>
      <c r="H4" s="3">
        <f t="shared" si="1"/>
        <v>17.34</v>
      </c>
      <c r="I4" s="5" t="s">
        <v>15</v>
      </c>
    </row>
    <row r="5" spans="1:9" x14ac:dyDescent="0.3">
      <c r="A5" s="4" t="s">
        <v>16</v>
      </c>
      <c r="B5" s="2" t="s">
        <v>17</v>
      </c>
      <c r="C5" s="1">
        <v>104.4</v>
      </c>
      <c r="D5" s="1">
        <v>2</v>
      </c>
      <c r="E5" s="1">
        <v>1</v>
      </c>
      <c r="F5" s="1">
        <v>1</v>
      </c>
      <c r="G5" s="1">
        <f t="shared" si="0"/>
        <v>3</v>
      </c>
      <c r="H5" s="3">
        <f t="shared" si="1"/>
        <v>313.20000000000005</v>
      </c>
      <c r="I5" s="5" t="s">
        <v>18</v>
      </c>
    </row>
    <row r="6" spans="1:9" x14ac:dyDescent="0.3">
      <c r="A6" s="4" t="s">
        <v>19</v>
      </c>
      <c r="B6" s="2" t="s">
        <v>20</v>
      </c>
      <c r="C6" s="1">
        <v>14.4</v>
      </c>
      <c r="D6" s="1">
        <v>1</v>
      </c>
      <c r="E6" s="1">
        <v>1</v>
      </c>
      <c r="F6" s="1">
        <v>1</v>
      </c>
      <c r="G6" s="1">
        <f t="shared" si="0"/>
        <v>2</v>
      </c>
      <c r="H6" s="3">
        <f t="shared" si="1"/>
        <v>28.8</v>
      </c>
      <c r="I6" s="6"/>
    </row>
    <row r="7" spans="1:9" x14ac:dyDescent="0.3">
      <c r="A7" s="4" t="s">
        <v>21</v>
      </c>
      <c r="B7" s="2" t="s">
        <v>48</v>
      </c>
      <c r="C7" s="1">
        <v>179.57</v>
      </c>
      <c r="D7" s="1">
        <v>1</v>
      </c>
      <c r="E7" s="1">
        <v>1</v>
      </c>
      <c r="F7" s="1">
        <v>0</v>
      </c>
      <c r="G7" s="1">
        <f t="shared" si="0"/>
        <v>1</v>
      </c>
      <c r="H7" s="3">
        <f t="shared" si="1"/>
        <v>179.57</v>
      </c>
      <c r="I7" s="6"/>
    </row>
    <row r="8" spans="1:9" x14ac:dyDescent="0.3">
      <c r="A8" s="4" t="s">
        <v>22</v>
      </c>
      <c r="B8" s="1"/>
      <c r="C8" s="1"/>
      <c r="D8" s="1"/>
      <c r="E8" s="1"/>
      <c r="F8" s="1"/>
      <c r="G8" s="1">
        <f t="shared" si="0"/>
        <v>0</v>
      </c>
      <c r="H8" s="3">
        <f t="shared" si="1"/>
        <v>0</v>
      </c>
      <c r="I8" s="6"/>
    </row>
    <row r="9" spans="1:9" x14ac:dyDescent="0.3">
      <c r="A9" s="4" t="s">
        <v>23</v>
      </c>
      <c r="B9" s="2" t="s">
        <v>58</v>
      </c>
      <c r="C9" s="1">
        <v>98.14</v>
      </c>
      <c r="D9" s="1">
        <v>4</v>
      </c>
      <c r="E9" s="1">
        <v>1</v>
      </c>
      <c r="F9" s="1">
        <v>0</v>
      </c>
      <c r="G9" s="1">
        <f t="shared" si="0"/>
        <v>4</v>
      </c>
      <c r="H9" s="3">
        <f t="shared" si="1"/>
        <v>392.56</v>
      </c>
      <c r="I9" s="6"/>
    </row>
    <row r="10" spans="1:9" x14ac:dyDescent="0.3">
      <c r="A10" s="4" t="s">
        <v>24</v>
      </c>
      <c r="B10" s="2" t="s">
        <v>25</v>
      </c>
      <c r="C10" s="1">
        <v>448.92</v>
      </c>
      <c r="D10" s="1">
        <v>1</v>
      </c>
      <c r="E10" s="1">
        <v>1</v>
      </c>
      <c r="F10" s="1">
        <v>1</v>
      </c>
      <c r="G10" s="1">
        <f>D10*E10+F10</f>
        <v>2</v>
      </c>
      <c r="H10" s="3">
        <f t="shared" si="1"/>
        <v>897.84</v>
      </c>
      <c r="I10" s="6"/>
    </row>
    <row r="11" spans="1:9" x14ac:dyDescent="0.3">
      <c r="A11" s="4" t="s">
        <v>26</v>
      </c>
      <c r="B11" s="2" t="s">
        <v>27</v>
      </c>
      <c r="C11" s="1">
        <v>86.16</v>
      </c>
      <c r="D11" s="1">
        <v>2</v>
      </c>
      <c r="E11" s="1">
        <v>1</v>
      </c>
      <c r="F11" s="1">
        <v>2</v>
      </c>
      <c r="G11" s="1">
        <f t="shared" si="0"/>
        <v>4</v>
      </c>
      <c r="H11" s="3">
        <f t="shared" si="1"/>
        <v>344.64</v>
      </c>
      <c r="I11" s="6"/>
    </row>
    <row r="12" spans="1:9" x14ac:dyDescent="0.3">
      <c r="A12" s="4" t="s">
        <v>28</v>
      </c>
      <c r="B12" s="2" t="s">
        <v>29</v>
      </c>
      <c r="C12" s="1">
        <v>0.41</v>
      </c>
      <c r="D12" s="1">
        <v>2</v>
      </c>
      <c r="E12" s="1">
        <v>1</v>
      </c>
      <c r="F12" s="1">
        <v>5</v>
      </c>
      <c r="G12" s="1">
        <f t="shared" si="0"/>
        <v>7</v>
      </c>
      <c r="H12" s="3">
        <f t="shared" si="1"/>
        <v>2.8699999999999997</v>
      </c>
      <c r="I12" s="6"/>
    </row>
    <row r="13" spans="1:9" x14ac:dyDescent="0.3">
      <c r="A13" s="4" t="s">
        <v>30</v>
      </c>
      <c r="B13" s="2" t="s">
        <v>31</v>
      </c>
      <c r="C13" s="1">
        <v>1.78</v>
      </c>
      <c r="D13" s="1">
        <v>13</v>
      </c>
      <c r="E13" s="1">
        <v>1</v>
      </c>
      <c r="F13" s="1">
        <v>10</v>
      </c>
      <c r="G13" s="1">
        <f t="shared" si="0"/>
        <v>23</v>
      </c>
      <c r="H13" s="3">
        <f t="shared" si="1"/>
        <v>40.94</v>
      </c>
      <c r="I13" s="6"/>
    </row>
    <row r="14" spans="1:9" x14ac:dyDescent="0.3">
      <c r="A14" s="4" t="s">
        <v>32</v>
      </c>
      <c r="B14" s="2" t="s">
        <v>33</v>
      </c>
      <c r="C14" s="1">
        <v>1.17</v>
      </c>
      <c r="D14" s="1">
        <v>2</v>
      </c>
      <c r="E14" s="1">
        <v>1</v>
      </c>
      <c r="F14" s="1">
        <v>5</v>
      </c>
      <c r="G14" s="1">
        <f t="shared" si="0"/>
        <v>7</v>
      </c>
      <c r="H14" s="3">
        <f t="shared" si="1"/>
        <v>8.19</v>
      </c>
      <c r="I14" s="6"/>
    </row>
    <row r="15" spans="1:9" x14ac:dyDescent="0.3">
      <c r="A15" s="4" t="s">
        <v>34</v>
      </c>
      <c r="B15" s="2" t="s">
        <v>35</v>
      </c>
      <c r="C15" s="1">
        <v>1.19</v>
      </c>
      <c r="D15" s="1">
        <v>4</v>
      </c>
      <c r="E15" s="1">
        <v>1</v>
      </c>
      <c r="F15" s="1">
        <v>12</v>
      </c>
      <c r="G15" s="1">
        <f t="shared" si="0"/>
        <v>16</v>
      </c>
      <c r="H15" s="3">
        <f t="shared" si="1"/>
        <v>19.04</v>
      </c>
      <c r="I15" s="6"/>
    </row>
    <row r="16" spans="1:9" x14ac:dyDescent="0.3">
      <c r="A16" s="4" t="s">
        <v>61</v>
      </c>
      <c r="B16" s="2" t="s">
        <v>59</v>
      </c>
      <c r="C16" s="1">
        <v>14.4</v>
      </c>
      <c r="D16" s="1">
        <v>1</v>
      </c>
      <c r="E16" s="1">
        <v>1</v>
      </c>
      <c r="F16" s="1">
        <v>0</v>
      </c>
      <c r="G16" s="1">
        <f t="shared" si="0"/>
        <v>1</v>
      </c>
      <c r="H16" s="3">
        <f t="shared" si="1"/>
        <v>14.4</v>
      </c>
      <c r="I16" s="6"/>
    </row>
    <row r="17" spans="1:9" x14ac:dyDescent="0.3">
      <c r="A17" s="4" t="s">
        <v>62</v>
      </c>
      <c r="B17" s="2" t="s">
        <v>36</v>
      </c>
      <c r="C17" s="1">
        <v>0.15</v>
      </c>
      <c r="D17" s="1">
        <v>1</v>
      </c>
      <c r="E17" s="1">
        <v>1</v>
      </c>
      <c r="F17" s="1">
        <v>29</v>
      </c>
      <c r="G17" s="1">
        <f>D17*E17+F17</f>
        <v>30</v>
      </c>
      <c r="H17" s="3">
        <f t="shared" si="1"/>
        <v>4.5</v>
      </c>
      <c r="I17" s="6"/>
    </row>
    <row r="18" spans="1:9" x14ac:dyDescent="0.3">
      <c r="A18" s="4" t="s">
        <v>60</v>
      </c>
      <c r="B18" s="2" t="s">
        <v>37</v>
      </c>
      <c r="C18" s="1">
        <v>0.15</v>
      </c>
      <c r="D18" s="1">
        <v>4</v>
      </c>
      <c r="E18" s="1">
        <v>1</v>
      </c>
      <c r="F18" s="1">
        <v>46</v>
      </c>
      <c r="G18" s="1">
        <f t="shared" si="0"/>
        <v>50</v>
      </c>
      <c r="H18" s="3">
        <f t="shared" si="1"/>
        <v>7.5</v>
      </c>
      <c r="I18" s="6"/>
    </row>
    <row r="19" spans="1:9" x14ac:dyDescent="0.3">
      <c r="A19" s="4" t="s">
        <v>64</v>
      </c>
      <c r="B19" s="2" t="s">
        <v>38</v>
      </c>
      <c r="C19" s="1">
        <v>0.15</v>
      </c>
      <c r="D19" s="1">
        <v>1</v>
      </c>
      <c r="E19" s="1">
        <v>1</v>
      </c>
      <c r="F19" s="1">
        <v>49</v>
      </c>
      <c r="G19" s="1">
        <f t="shared" si="0"/>
        <v>50</v>
      </c>
      <c r="H19" s="3">
        <f t="shared" si="1"/>
        <v>7.5</v>
      </c>
      <c r="I19" s="6"/>
    </row>
    <row r="20" spans="1:9" x14ac:dyDescent="0.3">
      <c r="A20" s="4" t="s">
        <v>39</v>
      </c>
      <c r="B20" s="2" t="s">
        <v>40</v>
      </c>
      <c r="C20" s="1">
        <v>1.55</v>
      </c>
      <c r="D20" s="1">
        <v>2</v>
      </c>
      <c r="E20" s="1">
        <v>1</v>
      </c>
      <c r="F20" s="1">
        <v>4</v>
      </c>
      <c r="G20" s="1">
        <f t="shared" si="0"/>
        <v>6</v>
      </c>
      <c r="H20" s="3">
        <f t="shared" si="1"/>
        <v>9.3000000000000007</v>
      </c>
      <c r="I20" s="6"/>
    </row>
    <row r="21" spans="1:9" x14ac:dyDescent="0.3">
      <c r="A21" s="4" t="s">
        <v>63</v>
      </c>
      <c r="B21" s="2" t="s">
        <v>41</v>
      </c>
      <c r="C21" s="1">
        <v>0.15</v>
      </c>
      <c r="D21" s="1">
        <v>1</v>
      </c>
      <c r="E21" s="1">
        <v>1</v>
      </c>
      <c r="F21" s="1">
        <v>49</v>
      </c>
      <c r="G21" s="1">
        <f t="shared" si="0"/>
        <v>50</v>
      </c>
      <c r="H21" s="3">
        <f t="shared" si="1"/>
        <v>7.5</v>
      </c>
      <c r="I21" s="6"/>
    </row>
    <row r="22" spans="1:9" x14ac:dyDescent="0.3">
      <c r="A22" s="4" t="s">
        <v>66</v>
      </c>
      <c r="B22" s="2" t="s">
        <v>65</v>
      </c>
      <c r="C22" s="1">
        <v>0.15</v>
      </c>
      <c r="D22" s="1">
        <v>4</v>
      </c>
      <c r="E22" s="1">
        <v>1</v>
      </c>
      <c r="F22" s="1">
        <v>46</v>
      </c>
      <c r="G22" s="1">
        <f t="shared" si="0"/>
        <v>50</v>
      </c>
      <c r="H22" s="3">
        <f t="shared" si="1"/>
        <v>7.5</v>
      </c>
      <c r="I22" s="6"/>
    </row>
    <row r="23" spans="1:9" x14ac:dyDescent="0.3">
      <c r="A23" s="4" t="s">
        <v>42</v>
      </c>
      <c r="B23" s="2" t="s">
        <v>43</v>
      </c>
      <c r="C23" s="1">
        <v>80.13</v>
      </c>
      <c r="D23" s="1">
        <v>2</v>
      </c>
      <c r="E23" s="1">
        <v>1</v>
      </c>
      <c r="F23" s="1">
        <v>6</v>
      </c>
      <c r="G23" s="1">
        <f t="shared" si="0"/>
        <v>8</v>
      </c>
      <c r="H23" s="3">
        <f t="shared" si="1"/>
        <v>641.04</v>
      </c>
      <c r="I23" s="6"/>
    </row>
    <row r="24" spans="1:9" x14ac:dyDescent="0.3">
      <c r="A24" s="4" t="s">
        <v>44</v>
      </c>
      <c r="B24" s="2" t="s">
        <v>69</v>
      </c>
      <c r="C24" s="1">
        <v>74.430000000000007</v>
      </c>
      <c r="D24" s="1">
        <v>1</v>
      </c>
      <c r="E24" s="1">
        <v>1</v>
      </c>
      <c r="F24" s="1">
        <v>1</v>
      </c>
      <c r="G24" s="1">
        <f t="shared" si="0"/>
        <v>2</v>
      </c>
      <c r="H24" s="3">
        <f t="shared" si="1"/>
        <v>148.86000000000001</v>
      </c>
      <c r="I24" s="6"/>
    </row>
    <row r="25" spans="1:9" x14ac:dyDescent="0.3">
      <c r="A25" s="4" t="s">
        <v>45</v>
      </c>
      <c r="B25" s="2" t="s">
        <v>46</v>
      </c>
      <c r="C25" s="1">
        <v>24.95</v>
      </c>
      <c r="D25" s="1">
        <v>2</v>
      </c>
      <c r="E25" s="1">
        <v>1</v>
      </c>
      <c r="F25" s="1">
        <v>4</v>
      </c>
      <c r="G25" s="1">
        <f t="shared" si="0"/>
        <v>6</v>
      </c>
      <c r="H25" s="3">
        <f t="shared" si="1"/>
        <v>149.69999999999999</v>
      </c>
      <c r="I25" s="6"/>
    </row>
    <row r="26" spans="1:9" x14ac:dyDescent="0.3">
      <c r="A26" s="4" t="s">
        <v>51</v>
      </c>
      <c r="B26" s="1"/>
      <c r="C26" s="1"/>
      <c r="D26" s="1"/>
      <c r="E26" s="1"/>
      <c r="F26" s="1"/>
      <c r="G26" s="1">
        <f>D26*E26+F26</f>
        <v>0</v>
      </c>
      <c r="H26" s="3">
        <f t="shared" si="1"/>
        <v>0</v>
      </c>
      <c r="I26" s="6"/>
    </row>
    <row r="27" spans="1:9" x14ac:dyDescent="0.3">
      <c r="A27" s="4" t="s">
        <v>52</v>
      </c>
      <c r="B27" s="2" t="s">
        <v>74</v>
      </c>
      <c r="C27" s="1">
        <v>44.37</v>
      </c>
      <c r="D27" s="1">
        <v>1</v>
      </c>
      <c r="E27" s="1">
        <v>1</v>
      </c>
      <c r="F27" s="1">
        <v>0</v>
      </c>
      <c r="G27" s="1">
        <f t="shared" si="0"/>
        <v>1</v>
      </c>
      <c r="H27" s="3">
        <f t="shared" si="1"/>
        <v>44.37</v>
      </c>
      <c r="I27" s="6"/>
    </row>
    <row r="28" spans="1:9" x14ac:dyDescent="0.3">
      <c r="A28" s="4" t="s">
        <v>53</v>
      </c>
      <c r="B28" s="2" t="s">
        <v>72</v>
      </c>
      <c r="C28" s="1">
        <v>78.3</v>
      </c>
      <c r="D28" s="1">
        <v>1</v>
      </c>
      <c r="E28" s="1">
        <v>1</v>
      </c>
      <c r="F28" s="1">
        <v>0</v>
      </c>
      <c r="G28" s="1">
        <f t="shared" si="0"/>
        <v>1</v>
      </c>
      <c r="H28" s="3">
        <f t="shared" si="1"/>
        <v>78.3</v>
      </c>
      <c r="I28" s="6"/>
    </row>
    <row r="29" spans="1:9" x14ac:dyDescent="0.3">
      <c r="A29" s="4" t="s">
        <v>54</v>
      </c>
      <c r="B29" s="2" t="s">
        <v>75</v>
      </c>
      <c r="C29" s="1">
        <v>16.079999999999998</v>
      </c>
      <c r="D29" s="1">
        <v>1</v>
      </c>
      <c r="E29" s="1">
        <v>1</v>
      </c>
      <c r="F29" s="1">
        <v>0</v>
      </c>
      <c r="G29" s="1">
        <f t="shared" si="0"/>
        <v>1</v>
      </c>
      <c r="H29" s="3">
        <f t="shared" si="1"/>
        <v>16.079999999999998</v>
      </c>
      <c r="I29" s="6"/>
    </row>
    <row r="30" spans="1:9" x14ac:dyDescent="0.3">
      <c r="A30" s="4" t="s">
        <v>55</v>
      </c>
      <c r="B30" s="2" t="s">
        <v>73</v>
      </c>
      <c r="C30" s="1">
        <v>23.83</v>
      </c>
      <c r="D30" s="1">
        <v>1</v>
      </c>
      <c r="E30" s="1">
        <v>1</v>
      </c>
      <c r="F30" s="1">
        <v>0</v>
      </c>
      <c r="G30" s="1">
        <f t="shared" si="0"/>
        <v>1</v>
      </c>
      <c r="H30" s="3">
        <f t="shared" si="1"/>
        <v>23.83</v>
      </c>
      <c r="I30" s="6"/>
    </row>
    <row r="31" spans="1:9" x14ac:dyDescent="0.3">
      <c r="A31" s="4" t="s">
        <v>67</v>
      </c>
      <c r="B31" s="2" t="s">
        <v>68</v>
      </c>
      <c r="C31" s="1">
        <v>1.01</v>
      </c>
      <c r="D31" s="1">
        <f>D23</f>
        <v>2</v>
      </c>
      <c r="E31" s="1">
        <f>E23</f>
        <v>1</v>
      </c>
      <c r="F31" s="1">
        <f>F23</f>
        <v>6</v>
      </c>
      <c r="G31" s="1">
        <f t="shared" si="0"/>
        <v>8</v>
      </c>
      <c r="H31" s="3">
        <f>C31*G31</f>
        <v>8.08</v>
      </c>
      <c r="I31" s="6"/>
    </row>
    <row r="32" spans="1:9" x14ac:dyDescent="0.3">
      <c r="A32" s="4" t="s">
        <v>70</v>
      </c>
      <c r="B32" s="2" t="s">
        <v>71</v>
      </c>
      <c r="C32" s="1">
        <v>0.88</v>
      </c>
      <c r="D32" s="1">
        <f>D25</f>
        <v>2</v>
      </c>
      <c r="E32" s="1">
        <f>E25</f>
        <v>1</v>
      </c>
      <c r="F32" s="1">
        <f>F25</f>
        <v>4</v>
      </c>
      <c r="G32" s="1">
        <f t="shared" si="0"/>
        <v>6</v>
      </c>
      <c r="H32" s="3">
        <f t="shared" si="1"/>
        <v>5.28</v>
      </c>
      <c r="I32" s="6"/>
    </row>
    <row r="33" spans="1:9" x14ac:dyDescent="0.3">
      <c r="A33" s="4"/>
      <c r="B33" s="1"/>
      <c r="C33" s="1"/>
      <c r="D33" s="1"/>
      <c r="E33" s="1"/>
      <c r="F33" s="1"/>
      <c r="G33" s="1"/>
      <c r="H33" s="1"/>
      <c r="I33" s="6"/>
    </row>
    <row r="34" spans="1:9" x14ac:dyDescent="0.3">
      <c r="A34" s="4"/>
      <c r="B34" s="1"/>
      <c r="C34" s="1"/>
      <c r="D34" s="1"/>
      <c r="E34" s="1"/>
      <c r="F34" s="1"/>
      <c r="G34" s="1"/>
      <c r="H34" s="1"/>
      <c r="I34" s="6"/>
    </row>
    <row r="35" spans="1:9" x14ac:dyDescent="0.3">
      <c r="A35" s="4"/>
      <c r="B35" s="1"/>
      <c r="C35" s="1"/>
      <c r="D35" s="1"/>
      <c r="E35" s="1"/>
      <c r="F35" s="1"/>
      <c r="G35" s="1"/>
      <c r="H35" s="1"/>
      <c r="I35" s="6"/>
    </row>
    <row r="36" spans="1:9" x14ac:dyDescent="0.3">
      <c r="A36" s="4"/>
      <c r="B36" s="1"/>
      <c r="C36" s="1"/>
      <c r="D36" s="1"/>
      <c r="E36" s="1"/>
      <c r="F36" s="1"/>
      <c r="G36" s="1"/>
      <c r="H36" s="1"/>
      <c r="I36" s="6"/>
    </row>
    <row r="37" spans="1:9" x14ac:dyDescent="0.3">
      <c r="A37" s="10" t="s">
        <v>47</v>
      </c>
      <c r="B37" s="11"/>
      <c r="C37" s="11"/>
      <c r="D37" s="11"/>
      <c r="E37" s="11"/>
      <c r="F37" s="11"/>
      <c r="G37" s="11"/>
      <c r="H37" s="12">
        <f>SUM(H2:H32)</f>
        <v>4370.49</v>
      </c>
      <c r="I37" s="13"/>
    </row>
    <row r="38" spans="1:9" x14ac:dyDescent="0.3">
      <c r="A38" s="10" t="s">
        <v>56</v>
      </c>
      <c r="B38" s="11"/>
      <c r="C38" s="11"/>
      <c r="D38" s="11"/>
      <c r="E38" s="11"/>
      <c r="F38" s="14">
        <v>100</v>
      </c>
      <c r="G38" s="11">
        <v>42.54</v>
      </c>
      <c r="H38" s="12">
        <f>F38*G38</f>
        <v>4254</v>
      </c>
      <c r="I38" s="13"/>
    </row>
    <row r="39" spans="1:9" x14ac:dyDescent="0.3">
      <c r="A39" s="15" t="s">
        <v>57</v>
      </c>
      <c r="B39" s="16"/>
      <c r="C39" s="16"/>
      <c r="D39" s="16"/>
      <c r="E39" s="16"/>
      <c r="F39" s="16"/>
      <c r="G39" s="16"/>
      <c r="H39" s="17">
        <f>H38-H37</f>
        <v>-116.48999999999978</v>
      </c>
      <c r="I39" s="18"/>
    </row>
  </sheetData>
  <phoneticPr fontId="2" type="noConversion"/>
  <hyperlinks>
    <hyperlink ref="B2" r:id="rId1" xr:uid="{26E5AAF9-A48F-4EB4-8909-A6F02C67A646}"/>
    <hyperlink ref="I3" r:id="rId2" display="https://www.mouser.com/datasheet/2/149/rurp860-244175.pdf?srsltid=AfmBOooYCmlhp8ArR5AyzC5gM2mv8igOzd1cTrq_5jTxrOMoU9HnxAyi" xr:uid="{613FFC3A-7AD2-4B00-9908-E8CAB82EF25D}"/>
    <hyperlink ref="I2" r:id="rId3" display="https://www.ozdisan.com/api/pdf/product/assets/PANJIT_PJMH099N60EC.pdf" xr:uid="{958480DB-902F-46B5-B445-380296D0E4F8}"/>
    <hyperlink ref="I4" r:id="rId4" display="https://www.vishay.com/docs/88755/uf4001.pdf" xr:uid="{12C1A20C-BC51-4D65-B9D4-F2DAF834FC3F}"/>
    <hyperlink ref="B5" r:id="rId5" display="https://www.motorobit.com/adum1200arz-rl7-soic-8-2-kanal-izolator-entegresi?srsltid=AfmBOoodsKKQ-NUKNEdvdBm3lfOoo9zFqwSoPv4nBZnIQ9B38x_nXZVRIUE" xr:uid="{3A847943-BBA9-4B22-A023-8A4DE4FFAD8E}"/>
    <hyperlink ref="I5" r:id="rId6" display="https://dosya.motorobit.com/pdf/ADUM1200ARZ.pdf" xr:uid="{06CAA642-D0AB-4D73-97FE-EA280DEFB272}"/>
    <hyperlink ref="B6" r:id="rId7" display="https://www.robolinkmarket.com/hall-effect-sensor-karti?srsltid=AfmBOorafGQdnXpc6rE9SGo10VDfzoedQBinWAkAwjy-yNeQ2-ZJT1l28Xk" xr:uid="{F962C7B3-F75A-451D-806C-9DFB78534056}"/>
    <hyperlink ref="B9" r:id="rId8" xr:uid="{DEC75C39-DF1D-4CCB-89A5-CA2AA9C5DD30}"/>
    <hyperlink ref="B10" r:id="rId9" display="https://www.motorobit.com/1500uf-400v-elektrolitik-kondansator-35x82mm?srsltid=AfmBOoqzw4pik1XFkkjFQBrXQZvnTZ4wqvMiCMIBFetCVrIeDeGnD7Qy" xr:uid="{02BC1195-206D-46AD-93A4-525D5D5AC20B}"/>
    <hyperlink ref="B11" r:id="rId10" display="https://www.e-komponent.com/01-f-10-1000v-1kv-ceramic-capacitor?srsltid=AfmBOooA83MqmeItmy7nsbsrIrtZI3BPZYIFiGXQwcbZ3ifNOFxVA5ULLGk" xr:uid="{C97DD732-C517-434B-9B91-F558E3988806}"/>
    <hyperlink ref="B12" r:id="rId11" display="https://www.direnc.net/1n4148-diyot-mic?utm_source=google&amp;utm_medium=cpc&amp;utm_campaign=0100-pmax-alfa&amp;gad_source=1&amp;gad_campaignid=22157331511&amp;gbraid=0AAAAAD2u3woM5rqzhqKwi3KNrWjzQllyA&amp;gclid=Cj0KCQiA6NTJBhDEARIsAB7QHD04qFT8oVx7j-jk4Xi13ISjTHHRa9qZwWSGzKP3FvVktYPX_TPenG8aAhW7EALw_wcB" xr:uid="{F99E0918-1DF1-423F-B5D8-64D606D0C4FA}"/>
    <hyperlink ref="B13" r:id="rId12" display="https://www.direnc.net/100nf-63v-polyster?utm_source=google&amp;utm_medium=cpc&amp;utm_campaign=0200-pmax-beta&amp;gad_source=1&amp;gad_campaignid=22119495771&amp;gbraid=0AAAAAD2u3wrmsZo4DdEEW3kK3dhvOFJ6Y&amp;gclid=Cj0KCQiA6NTJBhDEARIsAB7QHD28Iv1Ia-nqb_LYKImbUb8uQo4wUTFCzA87K9KvtK5kly7E3B6QhX8aArcaEALw_wcB" xr:uid="{F7E2D9A1-413F-4496-A554-B1D585814CFA}"/>
    <hyperlink ref="B14" r:id="rId13" display="https://www.direnc.net/10uf100v?utm_source=google&amp;utm_medium=cpc&amp;utm_campaign=0200-pmax-beta&amp;gad_source=1&amp;gad_campaignid=22119495771&amp;gbraid=0AAAAAD2u3wrmsZo4DdEEW3kK3dhvOFJ6Y&amp;gclid=Cj0KCQiA6NTJBhDEARIsAB7QHD3SQjPmjQA0yNq6hyprfuAQTqFSY01kZIA2FLBL91jN08Em_tUomn4aAu3-EALw_wcB" xr:uid="{26B653D8-F899-4E32-990A-32F59056C25A}"/>
    <hyperlink ref="B15" r:id="rId14" display="https://www.direnc.net/100uf-16v-kondansator-5x11-12485?utm_source=google&amp;utm_medium=cpc&amp;utm_campaign=0200-pmax-beta&amp;gad_source=1&amp;gad_campaignid=22119495771&amp;gbraid=0AAAAAD2u3wrmsZo4DdEEW3kK3dhvOFJ6Y&amp;gclid=Cj0KCQiA6NTJBhDEARIsAB7QHD1fJhMuIm2wwoGNZ1Q48ePZnfVMeTd838waXjvCo4NMnUjHfzg40bwaAlJOEALw_wcB" xr:uid="{F47A9C8D-ABF9-4CB7-B4ED-E74685C90D80}"/>
    <hyperlink ref="B17" r:id="rId15" display="https://www.direnc.net/10k-14w-direnc?utm_source=google&amp;utm_medium=cpc&amp;utm_campaign=0100-pmax-alfa&amp;gad_source=1&amp;gad_campaignid=22157331511&amp;gbraid=0AAAAAD2u3woM5rqzhqKwi3KNrWjzQllyA&amp;gclid=Cj0KCQiA6NTJBhDEARIsAB7QHD0ZjRaCLu75Kdv0mz3Op51V6B5ZacCd821vlNFkxsJaU3QKpr60cKUaAiVqEALw_wcB" xr:uid="{DF85087F-104C-47D5-9742-FE6B1D78FE5F}"/>
    <hyperlink ref="B18" r:id="rId16" display="https://www.direnc.net/10r-14w-direnc" xr:uid="{AAABEBA2-48F9-4FC8-BAAE-3FECB83669D8}"/>
    <hyperlink ref="B19" r:id="rId17" display="https://www.direnc.net/1k-14w-direnc" xr:uid="{65DBD92F-0B68-41AD-ACA6-4B527FCE8BC7}"/>
    <hyperlink ref="B20" r:id="rId18" display="https://www.robotistan.com/bc547-to92" xr:uid="{82B03C8E-6784-4282-93C4-3AA10D74E3B1}"/>
    <hyperlink ref="B21" r:id="rId19" display="https://www.direnc.net/27k-14w-direnc" xr:uid="{BBE12549-4655-42A4-BAD3-D4AE737553C4}"/>
    <hyperlink ref="B23" r:id="rId20" display="https://www.komponentci.net/ir2110-mosfet-surucu-entegresi-dip-14-pmu8539?srsltid=AfmBOopS5VFXBPFYLiYZpf5xYurc6zJB2HNLEaQAR35-XDZDrqD4X8-s" xr:uid="{9713B8F9-A862-4DF7-BA8B-3B5666D4A151}"/>
    <hyperlink ref="B24" r:id="rId21" xr:uid="{3D092F0C-51C1-4006-9F8B-33EDA95788EB}"/>
    <hyperlink ref="B25" r:id="rId22" display="https://www.direnc.net/6n135-high-speed-transistor-optocouplers?utm_source=google&amp;utm_medium=cpc&amp;utm_campaign=0100-pmax-alfa&amp;gad_source=1&amp;gad_campaignid=22157331511&amp;gbraid=0AAAAAD2u3woM5rqzhqKwi3KNrWjzQllyA&amp;gclid=Cj0KCQiA6NTJBhDEARIsAB7QHD01q-pJZn0Pu-8WVUMZj65OVFndNe3m_DCA_-alKSoGLRCKZk3_NQkaApnEEALw_wcB" xr:uid="{9EA5A191-5167-4486-A199-3F7671AC5407}"/>
    <hyperlink ref="B7" r:id="rId23" xr:uid="{210262DB-61DF-493D-9F63-6394AF1DE8A2}"/>
    <hyperlink ref="B4" r:id="rId24" xr:uid="{E5327A62-AC4C-4BEA-B4BC-49B9EDBD1ACA}"/>
    <hyperlink ref="B3" r:id="rId25" xr:uid="{814B5F75-597E-405E-B84A-B6CD9B7AB84D}"/>
    <hyperlink ref="B16" r:id="rId26" xr:uid="{51E8B494-7351-4242-9918-51B1B23817D8}"/>
    <hyperlink ref="B22" r:id="rId27" xr:uid="{E33EA9E6-159C-440A-9AE7-A2DD003BBF99}"/>
    <hyperlink ref="B31" r:id="rId28" xr:uid="{DBFBE348-0639-41B0-BFD0-5090B720989D}"/>
    <hyperlink ref="B32" r:id="rId29" xr:uid="{11E22E5F-038B-4018-B24E-45B2C691E92F}"/>
    <hyperlink ref="B28" r:id="rId30" xr:uid="{E432A0C4-94E9-44E2-BAF8-CEB2C7777E94}"/>
    <hyperlink ref="B29" r:id="rId31" xr:uid="{679EA029-F2CC-4610-A803-4256D81B1BED}"/>
    <hyperlink ref="B30" r:id="rId32" xr:uid="{34C44EED-84D1-4D56-B99F-FC927D5452ED}"/>
    <hyperlink ref="B27" r:id="rId33" xr:uid="{A2609D04-F3C8-4A6A-B821-0ED32624C680}"/>
  </hyperlinks>
  <pageMargins left="0.7" right="0.7" top="0.75" bottom="0.75" header="0.3" footer="0.3"/>
  <pageSetup paperSize="9" orientation="portrait" r:id="rId34"/>
  <tableParts count="1">
    <tablePart r:id="rId3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B7992F-C528-454F-9247-1A07F3DB1A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DEMİRKOPARAN</dc:creator>
  <cp:lastModifiedBy>metin özdemir</cp:lastModifiedBy>
  <dcterms:created xsi:type="dcterms:W3CDTF">2015-06-05T18:19:34Z</dcterms:created>
  <dcterms:modified xsi:type="dcterms:W3CDTF">2025-12-18T16:16:43Z</dcterms:modified>
</cp:coreProperties>
</file>